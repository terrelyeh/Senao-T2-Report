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mc:AlternateContent xmlns:mc="http://schemas.openxmlformats.org/markup-compatibility/2006">
    <mc:Choice Requires="x15">
      <x15ac:absPath xmlns:x15ac="http://schemas.microsoft.com/office/spreadsheetml/2010/11/ac" url="https://senao0.sharepoint.com/sites/ReferencesDocuments/Shared Documents/Apresia Monthly Report/"/>
    </mc:Choice>
  </mc:AlternateContent>
  <xr:revisionPtr revIDLastSave="0" documentId="8_{6CFE1AE0-AA10-4FB7-8608-77C9CD672067}" xr6:coauthVersionLast="47" xr6:coauthVersionMax="47" xr10:uidLastSave="{00000000-0000-0000-0000-000000000000}"/>
  <bookViews>
    <workbookView xWindow="28680" yWindow="-120" windowWidth="29040" windowHeight="16440" firstSheet="1" activeTab="1" xr2:uid="{00000000-000D-0000-FFFF-FFFF00000000}"/>
  </bookViews>
  <sheets>
    <sheet name="Instructions" sheetId="1" r:id="rId1"/>
    <sheet name="2026-05" sheetId="4" r:id="rId2"/>
    <sheet name="2026-04" sheetId="3" r:id="rId3"/>
    <sheet name="2026-03"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<sst xmlns="http://schemas.openxmlformats.org/spreadsheetml/2006/main" count="233" uniqueCount="122">
  <si>
    <t>How to Use This Template</t>
  </si>
  <si>
    <t>Structure</t>
  </si>
  <si>
    <t>Each month gets ONE tab. The tab contains report info at the top and ticket data below.</t>
  </si>
  <si>
    <t>Monthly</t>
  </si>
  <si>
    <t>1. Duplicate an existing month tab (right-click → Duplicate)</t>
  </si>
  <si>
    <t>Workflow</t>
  </si>
  <si>
    <t>2. Rename the new tab to YYYY-MM (e.g., 2026-04)</t>
  </si>
  <si>
    <t>3. Update the report info rows at the top (month, counts, etc.)</t>
  </si>
  <si>
    <t>4. Clear the old ticket rows and fill in new tickets</t>
  </si>
  <si>
    <t>5. Share the file with Terrel or Claude</t>
  </si>
  <si>
    <t>Category</t>
  </si>
  <si>
    <t>• T2 Issue / Tracker → fill all 3: Description, Summary, Details</t>
  </si>
  <si>
    <t>Guide</t>
  </si>
  <si>
    <t>• Customer Conversation / Email Conversation → Description = Highlight, Summary = Summary, Details = leave empty</t>
  </si>
  <si>
    <t>• Appendix → Description = Highlight only</t>
  </si>
  <si>
    <t>Formatting</t>
  </si>
  <si>
    <t>• Case Summary: use • at the start of each bullet point</t>
  </si>
  <si>
    <t>Tips</t>
  </si>
  <si>
    <t>• Affected Product/Model: tag the specific device (KOKOMO-W220AX-IS, ESG620, etc.)</t>
  </si>
  <si>
    <t>• Category and Status columns have dropdowns</t>
  </si>
  <si>
    <t>• Newest month tab should be leftmost (after Instructions)</t>
  </si>
  <si>
    <t xml:space="preserve">  FAE Support Report — April 2026</t>
  </si>
  <si>
    <t>Report Month</t>
  </si>
  <si>
    <t>May</t>
  </si>
  <si>
    <t>Author</t>
  </si>
  <si>
    <t>Himadri Paul, Senao Network</t>
  </si>
  <si>
    <t>Total Tickets</t>
  </si>
  <si>
    <t>Report Year</t>
  </si>
  <si>
    <t>2026</t>
  </si>
  <si>
    <t>Published</t>
  </si>
  <si>
    <t>Resolved</t>
  </si>
  <si>
    <t>T2 Issue</t>
  </si>
  <si>
    <t>Tracker</t>
  </si>
  <si>
    <t>Customer Conv.</t>
  </si>
  <si>
    <t>0</t>
  </si>
  <si>
    <t>Email Conv.</t>
  </si>
  <si>
    <t>Open</t>
  </si>
  <si>
    <t>Carry-over</t>
  </si>
  <si>
    <t xml:space="preserve">  Ticket Data</t>
  </si>
  <si>
    <t>Ticket ID</t>
  </si>
  <si>
    <t>Title</t>
  </si>
  <si>
    <t>Affected Product/Model</t>
  </si>
  <si>
    <t>Open Date</t>
  </si>
  <si>
    <t>Last Response</t>
  </si>
  <si>
    <t>Close Date</t>
  </si>
  <si>
    <t>Status</t>
  </si>
  <si>
    <t>Case Description</t>
  </si>
  <si>
    <t>Case Summary</t>
  </si>
  <si>
    <t>Ticket Details</t>
  </si>
  <si>
    <t>T2 Issue / Tracker / Customer Conversation / Email Conversation / Appendix</t>
  </si>
  <si>
    <t>e.g., 82514414</t>
  </si>
  <si>
    <t>Short title</t>
  </si>
  <si>
    <t>e.g., KOKOMO-W220AX-IS</t>
  </si>
  <si>
    <t>MMM DD, YYYY</t>
  </si>
  <si>
    <t>Resolved / Open</t>
  </si>
  <si>
    <t>What the customer reported</t>
  </si>
  <si>
    <t>Use • for bullet points</t>
  </si>
  <si>
    <t>Full narrative (optional for Conversation)</t>
  </si>
  <si>
    <t>Regarding LBD Function Behavior</t>
  </si>
  <si>
    <t>KOKOMO-S210MGT-P</t>
  </si>
  <si>
    <t>Hi team,
We have been testing the LBD (Loop Detection) function via the local web interface.
During our verification, we observed the following behavior when STP is disabled:
No logs are generated when a loop is detected
No blocked port is displayed
The switch goes offline
We understand that this configuration may involve unsupported functionality. However, we would like to confirm:
①Is enabling STP required in order to properly use the LBD function?
②Is this behavior expected when STP is disabled?
We would appreciate your clarification on this behavior.</t>
  </si>
  <si>
    <t>Issue:
Apresia reported that the Loop Detection (LBD) feature appeared not to function correctly when STP was disabled. In the Cloud Portal, loop events did not generate logs or show blocked ports, and the switch temporarily went offline.
Investigation Findings:
• LBD and STP are independent features; LBD does not require STP to operate.
• Local GUI testing confirmed that LBD correctly detected loops, generated logs, and blocked the affected port.
• The apparent lack of logs in the Cloud Portal was primarily due to the switch becoming temporarily unreachable during the loop event and only synchronizing information after connectivity was restored.
• Further testing identified that LBD must be enabled on all participating ports, including the uplink port, for loop detection to function as expected when ports belong to the same VLAN.
• When downlink ports were placed in a different VLAN from the uplink port, LBD operated correctly even without enabling LBD on the uplink port because loop traffic was contained within the isolated VLAN.
Conclusion:
The observed behavior was determined to be expected behavior, not a defect. LBD functionality depends on the VLAN topology and port-group participation. For loops occurring within the same VLAN domain, the uplink port must also be included in LBD protection. The customer confirmed the explanation and closed the case.</t>
  </si>
  <si>
    <t>T1 backend ticket</t>
  </si>
  <si>
    <t>Question About Communication to s3.ap-northeast-1.amazonaws.com</t>
  </si>
  <si>
    <t>May 25, 2026 </t>
  </si>
  <si>
    <t>Hi team,​Could you please provide information about s3.ap-northeast-1.amazonaws.com listed in the firewall rules?
1. What is the purpose of communication to s3.ap-northeast-1.amazonaws.com?
2. If the splash page is not used, is it still necessary to allow access to this FQDN?
3. If this communication is not allowed, will it have any impact other than on the splash page feature?</t>
  </si>
  <si>
    <t>A customer raised concerns regarding outbound communications from KOKOMO Access Points to AWS-related domains, specifically questioning the purpose of connections to s3.ap-northeast-1.amazonaws.com, whether they are required when Splash Page functionality is not used, and whether additional observed destinations such as aws.amazon.com and CloudFront endpoints should be permitted.
The investigation confirmed that s3.ap-northeast-1.amazonaws.com is used to host Splash Page and Captive Portal assets stored in AWS S3. While these communications are primarily associated with Splash Page functionality, blocking access could potentially affect cloud-delivered resources and future feature compatibility.
Further analysis of customer proxy logs showed periodic connections to aws.amazon.com every approximately 180 seconds, followed by HTTPS sessions to AWS CloudFront endpoints and communications with KOKOMO cloud services. Engineering confirmed that the device performs a connectivity check to aws.amazon.com, and that the customer's understanding of the CloudFront-to-S3 content delivery architecture was correct.
During follow-up discussions, the customer requested clarification on whether additional domains not listed in the original firewall guide needed to be allowed. Engineering confirmed that, in addition to the documented KOKOMO cloud domains and s3.ap-northeast-1.amazonaws.com, access to aws.amazon.com and *.cloudfront.net should also be permitted to ensure normal cloud operation and AWS resource accessibility.
Conclusion: The observed AWS and CloudFront communications are expected behavior. Customers implementing restrictive outbound firewall policies should allow the documented KOKOMO cloud domains, s3.ap-northeast-1.amazonaws.com, aws.amazon.com, and *.cloudfront.net to avoid potential service disruptions. The customer was informed of the findings and the case was subsequently closed.</t>
  </si>
  <si>
    <t>Request for specific FQDNs for "dolphin-jp-.production.kokomocloud.com"</t>
  </si>
  <si>
    <t>Hi team,
We received an inquiry from a customer who is trying to register firewall rules using a FortiGate 90G.
They reported that they cannot register the policy for "dolphin-jp-*.production.kokomocloud.com" because their firewall does not accept wildcard domains for this configuration.
To address this, we would like to provide the customer with the specific FQDNs they need to allow.
Could you please provide us with the detailed list of specific FQDNs included under "dolphin-jp-*.production.kokomocloud.com"?</t>
  </si>
  <si>
    <t>A customer using a FortiGate 90G firewall reported that they could not create a firewall policy using the wildcard domain dolphin-jp-*.production.kokomocloud.com, as their firewall platform does not support wildcard FQDN entries for this use case.
The customer requested the specific FQDNs covered by the wildcard entry. Engineering confirmed that the wildcard currently resolves to the following two hostnames:
dolphin-jp-001.production.kokomocloud.com
dolphin-jp-002.production.kokomocloud.com
The customer also requested confirmation that allowing these two FQDNs individually would provide the same functionality as allowing the wildcard domain. Engineering confirmed that permitting both hostnames is functionally equivalent to permitting the wildcard entry.
Conclusion: The customer was advised to create firewall policies for dolphin-jp-001.production.kokomocloud.com and dolphin-jp-002.production.kokomocloud.com individually. This provides the same operational behavior as allowing dolphin-jp-*.production.kokomocloud.com. The customer acknowledged the guidance and the case was closed successfully.</t>
  </si>
  <si>
    <t>Planned Additions of Captive Portal Authentication Methods</t>
  </si>
  <si>
    <t>June 10, 2026 </t>
  </si>
  <si>
    <t>We have received an inquiry from a customer regarding the planned addition of authentication types for our captive portal.Do you have any plans to add authentication types such as the following?​・Social Media Authentication・Email Authentication・SMS Authentication</t>
  </si>
  <si>
    <t>A customer inquired whether KOKOMO Cloud has plans to support additional Captive Portal authentication methods, including Social Media Authentication, Email Authentication, and SMS Authentication.
Initial investigation confirmed that these authentication methods are not currently available as standard KOKOMO Cloud features, and there are no plans to add Social Media or SMS authentication. Customers requiring these capabilities are expected to leverage third-party captive portal providers and regional service integrations.
The discussion then focused on potential integration with Social WiFi, a third-party WiFi marketing platform. Testing revealed that Social WiFi could not recognize certain EnGenius and KOKOMO access points due to OUI (MAC vendor prefix) validation restrictions within Social WiFi's device whitelist database. Specifically, KOKOMO APs were rejected because their OUI was not registered as a supported vendor, while some EnGenius models were limited to specific approved OUIs.
Further investigation determined that the issue was not caused by KOKOMO Cloud itself but by Social WiFi's vendor validation mechanism. A ticket was raised with Social WiFi, which subsequently disabled MAC verification for the test environment and confirmed that supported EnGenius OUIs could be added successfully. Additional testing with newer supported EnGenius devices verified that captive portal integration and login functionality worked as expected.
During the investigation, Product Management roadmap information confirmed that Email Authentication for Captive Portal is planned for Q3, while Social Media and SMS authentication remain unsupported and are not currently on the product roadmap.</t>
  </si>
  <si>
    <t>April</t>
  </si>
  <si>
    <t>May 2026</t>
  </si>
  <si>
    <t>T1 Issue</t>
  </si>
  <si>
    <t>About Firewall-rule</t>
  </si>
  <si>
    <t>KOKOMO-W220AX-IS</t>
  </si>
  <si>
    <t>Apr 10, 2026</t>
  </si>
  <si>
    <t>April 13, 2026</t>
  </si>
  <si>
    <t>We would like to ask about the firewall rules required to bring the access point (AP) online.
We reviewed the following documentation:
https://docs.lan.kokomocloud.com/appendix/firewall-rule
Based on this document, we configured the proxy server to allow only:
*.production.kokomocloud.com
However, the AP does not come online.
We suspected that NTP might be related, so we also verified the NTP allow configuration. Based on our verification, NTP does not appear to affect whether the AP becomes online or not.
We have confirmed that:
When all outbound communications are allowed, the AP successfully comes online.
DNS and HTTP/HTTPS server settings are already configured on the AP.
We would appreciate your clarification on the following two points:
Is it acceptable to consolidate the required FQDNs using a regular expression (for example, *.production.kokomocloud.com) when defining allow rules on a proxy server?
We understand that this may depend on the proxy server implementation.
Could you please advise the minimum set of FQDNs that must be allowed in order for the AP to come online?
Additionally, we would appreciate it if you could let us know of any other considerations or points we should be aware of.
Thank you for your assistance.</t>
  </si>
  <si>
    <t>• AP does not come online when only `*.production.kokomocloud.com` is allowed through the proxy/firewall, but works normally when all outbound traffic is permitted.
• NTP was tested and does not appear to affect the AP online status. DNS and HTTP/HTTPS settings are already configured correctly on the AP.
• Customer is asking whether wildcard/regex rules such as `*.production.kokomocloud.com` are officially supported for proxy allow rules.
• Customer also requests the minimum required FQDN/domain list and any additional requirements needed for AP cloud connectivity.
• Region.Support requested confirmation that TLS/SSL inspection is not being modified by the proxy and asked for a reproducible test environment or remote access (AnyDesk/passcode) so RD can investigate which service or destination is being blocked.</t>
  </si>
  <si>
    <t>About log information</t>
  </si>
  <si>
    <t>Apr 6, 2026</t>
  </si>
  <si>
    <t>April 9, 2026</t>
  </si>
  <si>
    <t>Hi team,​​
[Background]
An issue occurred in which a wireless client was temporarily unable to obtain an IP address via DHCP.The access point is operating in bridge mode with a static IP address, and DHCP is provided by an on‑premises (internal) server.
[Question]
Is it possible to investigate this issue using logs available in the cloud?
For example, AP logs or a client activity timeline.
As part of our verification, we intentionally denied DHCP OFFER packets to simulate the behavior; however, no information indicating the root cause could be identified from the cloud-side logs.</t>
  </si>
  <si>
    <t>• A wireless client temporarily failed to obtain an IP address via DHCP in an environment where the AP operates in bridge mode with a static IP, while DHCP is provided by an internal server.
• Customer asked whether the issue could be investigated using cloud-side information such as AP logs or client activity timelines.
• During testing, DHCP OFFER packets were intentionally blocked to reproduce the issue, but no clear root-cause information was visible in the cloud logs.
• Since the DHCP OFFER deny did not originate from the AP itself, the AP logs would not record this event.
• Recommended troubleshooting includes using Wired Packet Capture in Diag Tools during authentication/DHCP exchange and checking switch configurations, especially DHCP Relay settings and MAC learning limits on switch ports, as similar cases have been observed before.</t>
  </si>
  <si>
    <t>How to identify applications</t>
  </si>
  <si>
    <t>Apr 22, 2026</t>
  </si>
  <si>
    <t xml:space="preserve">April 24, 2026 </t>
  </si>
  <si>
    <t>April 24, 2026 </t>
  </si>
  <si>
    <t>We would like to inquire about how application identification is performed for the applications displayed on the dashboard screen.
For example, even though we are using Teams, the application display sometimes shows "Skype_TeamsCall."
What specific information does the AP use to identify applications?</t>
  </si>
  <si>
    <t xml:space="preserve">•  Application identification on the AP is performed using nDPI v4.6, an open-source Layer 7 Deep Packet Inspection (DPI) library, not the chipset SDK. 
• Microsoft Teams traffic may appear as `Skype_TeamsCall` because Teams reuses Skype’s real-time media stack, and nDPI shares the same fingerprint definitions for Teams/Skype voice and video traffic. 
• nDPI identifies applications using multiple methods including packet payload inspection, ports, IP addresses, TLS certificates, SNI information, and known service IP lists. 
• Application classification is performed on a per-flow/per-session basis, meaning different traffic types from the same application can appear differently (e.g., Zoom media traffic as `Zoom`, but encrypted file transfer traffic as `TLS`). 
• `TLS` classification means the encryption protocol was identified but the actual application could not be determined, while `Others/Unknown` means nDPI could not identify the traffic or protocol at all. </t>
  </si>
  <si>
    <t xml:space="preserve">  FAE Support Report — March 2026</t>
  </si>
  <si>
    <t>March</t>
  </si>
  <si>
    <t>3</t>
  </si>
  <si>
    <t>April 2026</t>
  </si>
  <si>
    <t>82514414</t>
  </si>
  <si>
    <t>Summary of RADIUS Test Failure (KOKOMOCloud / APRESIA)</t>
  </si>
  <si>
    <t>Mar 12, 2026</t>
  </si>
  <si>
    <t>Mar 30, 2026</t>
  </si>
  <si>
    <t>Apr 2, 2026</t>
  </si>
  <si>
    <t>When testing the KOKOMOCloud feature while using Custom RADIUS under WPA3-Enterprise, a certificate missing error is displayed even though RadSec is disabled. The same error is observed from APRESIA.</t>
  </si>
  <si>
    <t>• The Phenomenon: RADIUS test under WPA3-Enterprise showed certificate missing error even with RadSec disabled
• Root Cause (AP Defect): Protocol mismatch — script hardcoded GTC, customer required MS-CHAPv2
• Misleading Error Logic: Generic RadSec error message for any RADIUS failure
• Immediate Resolution: R&amp;D patched AP via SSH to support both MS-CHAPv2 and GTC
• Long-term: Fix in next firmware release + UI error message update (ETA: Late April 2026)</t>
  </si>
  <si>
    <t>In March 2026, a significant technical discrepancy was identified within the KOKOMOCloud and APRESIA monitoring platforms concerning the KOKOMO-W220AX-IS Access Point (AP). The primary issue involved a persistent 'certificate missing' error displayed during the RADIUS Test function, specifically when utilizing WPA3-Enterprise security...</t>
  </si>
  <si>
    <t>83633969</t>
  </si>
  <si>
    <t>"Web Authentication Failed" Error</t>
  </si>
  <si>
    <t>KOKOMOCloud (Web Portal)</t>
  </si>
  <si>
    <t>Mar 16, 2026</t>
  </si>
  <si>
    <t>Mar 19, 2026</t>
  </si>
  <si>
    <t>User so-aoi@iij.ad.jp reported unable to log in from March 11-16 due to 'web authentication failed' error. Issue self-resolved. Attempted different browsers, private windows, password reset — none worked.</t>
  </si>
  <si>
    <t>• Root Cause (Google reCAPTCHA): Error mapped to Google reCAPTCHA v3 — login blocked due to low risk score
• Risk Factors: Low IP reputation, VPN/proxy, ad blockers, mechanical browsing patterns
• Persistent Failure: reCAPTCHA evaluates IP-level, switching browsers didn't help
• Resolution over Time: Resolved naturally as IP reputation improved
• Distinction from Credential Errors: 'web auth failed' occurs before 2FA — confirms security gate failure
• Recommended Mitigation: Switch networks (mobile hotspot) or implement whitelist mechanism</t>
  </si>
  <si>
    <t>Between March 11 and March 16, 2026, a persistent login issue was reported for the user account so-aoi@iij.ad.jp...</t>
  </si>
  <si>
    <t>86120230</t>
  </si>
  <si>
    <t>Unable to Use Activity and Internet Connectivity in Diagnostic Tools</t>
  </si>
  <si>
    <t>KOKOMOCloud (Diagnostic Tools)</t>
  </si>
  <si>
    <t>Mar 26, 2026</t>
  </si>
  <si>
    <t>Mar 31, 2026</t>
  </si>
  <si>
    <t>Activity and Internet Connectivity pages in diagnostic tools fail to load — stuck on loading spinner. Only occurs in corporate network with TLS/SSL inspection proxy. Other tools (Cable Test, Traceroute) work fine.</t>
  </si>
  <si>
    <t>• Issue: Diagnostic pages stuck on continuous loading screen
• Environment: Corporate network with TLS/SSL inspection proxy only
• Root Cause: Pages rely on WebSocket (WSS over port 443) — proxy disrupts handshake
• Resolution: Exclude dolphin-jp-*.production.kokomocloud.com from TLS/SSL inspection
• Outcome: Customer guidance provided, ticket closed</t>
  </si>
  <si>
    <t>This report outlines an issue encountered when accessing the Activity and Internet Connectivity pages within the diagnostic tools of a cloud-managed device...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</si>
</sst>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4"/>
      <color rgb="FFFFFFFF"/>
      <name val="Arial"/>
    </font>
    <font>
      <b/>
      <sz val="10"/>
      <name val="Arial"/>
    </font>
    <font>
      <sz val="10"/>
      <name val="Arial"/>
    </font>
    <font>
      <b/>
      <sz val="12"/>
      <color rgb="FFFFFFFF"/>
      <name val="Arial"/>
    </font>
    <font>
      <b/>
      <sz val="11"/>
      <color rgb="FFFFFFFF"/>
      <name val="Arial"/>
    </font>
    <font>
      <i/>
      <sz val="9"/>
      <color rgb="FF9CA3AF"/>
      <name val="Arial"/>
    </font>
    <font>
      <sz val="10"/>
      <color rgb="FF1A1A1A"/>
      <name val="Segoe UI"/>
      <family val="2"/>
    </font>
    <font>
      <sz val="10"/>
      <color rgb="FF1A1A1A"/>
      <name val="Arial"/>
      <family val="2"/>
    </font>
    <font>
      <i/>
      <sz val="9"/>
      <color rgb="FF9CA3AF"/>
      <name val="Arial"/>
      <family val="2"/>
    </font>
    <font>
      <sz val="11"/>
      <color rgb="FF1A1A1A"/>
      <name val="Arial"/>
      <family val="2"/>
    </font>
    <font>
      <sz val="11"/>
      <color rgb="FF1A1A1A"/>
      <name val="Segoe UI"/>
      <family val="2"/>
    </font>
    <font>
      <sz val="10"/>
      <name val="Arial"/>
      <family val="2"/>
    </font>
  </fonts>
  <fills count="8">
    <fill>
      <patternFill patternType="none"/>
    </fill>
    <fill>
      <patternFill patternType="gray125"/>
    </fill>
    <fill>
      <patternFill patternType="solid">
        <fgColor rgb="FFD97706"/>
        <bgColor rgb="FFD97706"/>
      </patternFill>
    </fill>
    <fill>
      <patternFill patternType="solid">
        <fgColor rgb="FF1D4ED8"/>
        <bgColor rgb="FF1D4ED8"/>
      </patternFill>
    </fill>
    <fill>
      <patternFill patternType="solid">
        <fgColor rgb="FFF3F4F6"/>
        <bgColor rgb="FFF3F4F6"/>
      </patternFill>
    </fill>
    <fill>
      <patternFill patternType="solid">
        <fgColor rgb="FF059669"/>
        <bgColor rgb="FF059669"/>
      </patternFill>
    </fill>
    <fill>
      <patternFill patternType="solid">
        <fgColor rgb="FF0F172A"/>
        <bgColor rgb="FF0F172A"/>
      </patternFill>
    </fill>
    <fill>
      <patternFill patternType="solid">
        <fgColor rgb="FFDBEAFE"/>
        <bgColor rgb="FFDBEAFE"/>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30">
    <xf numFmtId="0" fontId="0" fillId="0" borderId="0" xfId="0"/>
    <xf numFmtId="0" fontId="2" fillId="0" borderId="0" xfId="0" applyFont="1"/>
    <xf numFmtId="0" fontId="3" fillId="0" borderId="0" xfId="0" applyFont="1" applyAlignment="1">
      <alignment vertical="top" wrapText="1"/>
    </xf>
    <xf numFmtId="0" fontId="3" fillId="0" borderId="0" xfId="0" applyFont="1"/>
    <xf numFmtId="0" fontId="2" fillId="4" borderId="1" xfId="0" applyFont="1" applyFill="1" applyBorder="1" applyAlignment="1">
      <alignment vertical="top" wrapText="1"/>
    </xf>
    <xf numFmtId="0" fontId="3" fillId="0" borderId="1" xfId="0" applyFont="1" applyBorder="1" applyAlignment="1">
      <alignment vertical="top" wrapText="1"/>
    </xf>
    <xf numFmtId="0" fontId="5" fillId="6" borderId="1" xfId="0" applyFont="1" applyFill="1" applyBorder="1" applyAlignment="1">
      <alignment horizontal="center" vertical="center" wrapText="1"/>
    </xf>
    <xf numFmtId="0" fontId="6" fillId="4" borderId="1" xfId="0" applyFont="1" applyFill="1" applyBorder="1" applyAlignment="1">
      <alignment vertical="top" wrapText="1"/>
    </xf>
    <xf numFmtId="0" fontId="3" fillId="7" borderId="1" xfId="0" applyFont="1" applyFill="1" applyBorder="1" applyAlignment="1">
      <alignment vertical="top" wrapText="1"/>
    </xf>
    <xf numFmtId="0" fontId="7" fillId="0" borderId="0" xfId="0" applyFont="1"/>
    <xf numFmtId="0" fontId="8" fillId="0" borderId="0" xfId="0" applyFont="1"/>
    <xf numFmtId="0" fontId="0" fillId="0" borderId="0" xfId="0" applyAlignment="1">
      <alignment wrapText="1"/>
    </xf>
    <xf numFmtId="0" fontId="9" fillId="4" borderId="1" xfId="0" applyFont="1" applyFill="1" applyBorder="1" applyAlignment="1">
      <alignment vertical="top" wrapText="1"/>
    </xf>
    <xf numFmtId="0" fontId="10" fillId="0" borderId="0" xfId="0" applyFont="1"/>
    <xf numFmtId="17" fontId="3" fillId="0" borderId="1" xfId="0" applyNumberFormat="1" applyFont="1" applyBorder="1" applyAlignment="1">
      <alignment vertical="top" wrapText="1"/>
    </xf>
    <xf numFmtId="0" fontId="12" fillId="7" borderId="1" xfId="0" applyFont="1" applyFill="1" applyBorder="1" applyAlignment="1">
      <alignment vertical="top" wrapText="1"/>
    </xf>
    <xf numFmtId="15" fontId="8" fillId="0" borderId="0" xfId="0" applyNumberFormat="1" applyFont="1" applyAlignment="1">
      <alignment wrapText="1"/>
    </xf>
    <xf numFmtId="0" fontId="8" fillId="0" borderId="0" xfId="0" applyFont="1" applyAlignment="1">
      <alignment wrapText="1"/>
    </xf>
    <xf numFmtId="0" fontId="5" fillId="6" borderId="1" xfId="0" applyFont="1" applyFill="1" applyBorder="1" applyAlignment="1">
      <alignment horizontal="center" wrapText="1"/>
    </xf>
    <xf numFmtId="0" fontId="6" fillId="4" borderId="1" xfId="0" applyFont="1" applyFill="1" applyBorder="1" applyAlignment="1">
      <alignment wrapText="1"/>
    </xf>
    <xf numFmtId="0" fontId="9" fillId="4" borderId="1" xfId="0" applyFont="1" applyFill="1" applyBorder="1" applyAlignment="1">
      <alignment wrapText="1"/>
    </xf>
    <xf numFmtId="15" fontId="11" fillId="0" borderId="0" xfId="0" applyNumberFormat="1" applyFont="1" applyAlignment="1">
      <alignment wrapText="1"/>
    </xf>
    <xf numFmtId="15" fontId="7" fillId="0" borderId="0" xfId="0" applyNumberFormat="1" applyFont="1" applyAlignment="1">
      <alignment wrapText="1"/>
    </xf>
    <xf numFmtId="0" fontId="4" fillId="3" borderId="1" xfId="0" applyFont="1" applyFill="1" applyBorder="1" applyAlignment="1">
      <alignment horizontal="left" vertical="center"/>
    </xf>
    <xf numFmtId="0" fontId="4" fillId="5" borderId="1" xfId="0" applyFont="1" applyFill="1" applyBorder="1" applyAlignment="1">
      <alignment horizontal="left" wrapText="1"/>
    </xf>
    <xf numFmtId="0" fontId="0" fillId="0" borderId="1" xfId="0" applyBorder="1" applyAlignment="1">
      <alignment wrapText="1"/>
    </xf>
    <xf numFmtId="0" fontId="1" fillId="2" borderId="0" xfId="0" applyFont="1" applyFill="1" applyAlignment="1">
      <alignment horizontal="center" vertical="center"/>
    </xf>
    <xf numFmtId="0" fontId="4" fillId="5" borderId="1" xfId="0" applyFont="1" applyFill="1" applyBorder="1" applyAlignment="1">
      <alignment horizontal="left" vertical="center"/>
    </xf>
    <xf numFmtId="0" fontId="0" fillId="0" borderId="0" xfId="0" applyAlignment="1"/>
    <xf numFmtId="0" fontId="0" fillId="0" borderId="1" xfId="0" applyBorder="1" applyAlignment="1"/>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97706"/>
  </sheetPr>
  <dimension ref="A1:B18"/>
  <sheetViews>
    <sheetView workbookViewId="0">
      <selection activeCell="B3" sqref="B3"/>
    </sheetView>
  </sheetViews>
  <sheetFormatPr defaultRowHeight="15"/>
  <cols>
    <col min="1" max="1" width="14" customWidth="1"/>
    <col min="2" max="2" width="85" customWidth="1"/>
  </cols>
  <sheetData>
    <row r="1" spans="1:2" ht="36" customHeight="1">
      <c r="A1" s="26" t="s">
        <v>0</v>
      </c>
      <c r="B1" s="28"/>
    </row>
    <row r="3" spans="1:2">
      <c r="A3" s="1" t="s">
        <v>1</v>
      </c>
      <c r="B3" s="2" t="s">
        <v>2</v>
      </c>
    </row>
    <row r="4" spans="1:2">
      <c r="A4" s="3"/>
      <c r="B4" s="2"/>
    </row>
    <row r="5" spans="1:2">
      <c r="A5" s="1" t="s">
        <v>3</v>
      </c>
      <c r="B5" s="2" t="s">
        <v>4</v>
      </c>
    </row>
    <row r="6" spans="1:2">
      <c r="A6" s="1" t="s">
        <v>5</v>
      </c>
      <c r="B6" s="2" t="s">
        <v>6</v>
      </c>
    </row>
    <row r="7" spans="1:2">
      <c r="A7" s="3"/>
      <c r="B7" s="2" t="s">
        <v>7</v>
      </c>
    </row>
    <row r="8" spans="1:2">
      <c r="A8" s="3"/>
      <c r="B8" s="2" t="s">
        <v>8</v>
      </c>
    </row>
    <row r="9" spans="1:2">
      <c r="A9" s="3"/>
      <c r="B9" s="2" t="s">
        <v>9</v>
      </c>
    </row>
    <row r="10" spans="1:2">
      <c r="A10" s="3"/>
      <c r="B10" s="2"/>
    </row>
    <row r="11" spans="1:2">
      <c r="A11" s="1" t="s">
        <v>10</v>
      </c>
      <c r="B11" s="2" t="s">
        <v>11</v>
      </c>
    </row>
    <row r="12" spans="1:2" ht="25.5">
      <c r="A12" s="1" t="s">
        <v>12</v>
      </c>
      <c r="B12" s="2" t="s">
        <v>13</v>
      </c>
    </row>
    <row r="13" spans="1:2">
      <c r="A13" s="3"/>
      <c r="B13" s="2" t="s">
        <v>14</v>
      </c>
    </row>
    <row r="14" spans="1:2">
      <c r="A14" s="3"/>
      <c r="B14" s="2"/>
    </row>
    <row r="15" spans="1:2">
      <c r="A15" s="1" t="s">
        <v>15</v>
      </c>
      <c r="B15" s="2" t="s">
        <v>16</v>
      </c>
    </row>
    <row r="16" spans="1:2">
      <c r="A16" s="1" t="s">
        <v>17</v>
      </c>
      <c r="B16" s="2" t="s">
        <v>18</v>
      </c>
    </row>
    <row r="17" spans="1:2">
      <c r="A17" s="3"/>
      <c r="B17" s="2" t="s">
        <v>19</v>
      </c>
    </row>
    <row r="18" spans="1:2">
      <c r="A18" s="3"/>
      <c r="B18" s="2" t="s">
        <v>20</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E490D-6834-413D-BCD7-36F1FD81943A}">
  <sheetPr>
    <tabColor rgb="FF059669"/>
  </sheetPr>
  <dimension ref="A1:K13"/>
  <sheetViews>
    <sheetView tabSelected="1" workbookViewId="0">
      <pane ySplit="8" topLeftCell="A12" activePane="bottomLeft" state="frozen"/>
      <selection pane="bottomLeft" activeCell="C14" sqref="C14"/>
    </sheetView>
  </sheetViews>
  <sheetFormatPr defaultRowHeight="15"/>
  <cols>
    <col min="1" max="1" width="22" customWidth="1"/>
    <col min="2" max="2" width="14" customWidth="1"/>
    <col min="3" max="3" width="35" customWidth="1"/>
    <col min="4" max="4" width="24" customWidth="1"/>
    <col min="5" max="7" width="14" customWidth="1"/>
    <col min="8" max="8" width="12" customWidth="1"/>
    <col min="9" max="9" width="45" customWidth="1"/>
    <col min="10" max="11" width="55" customWidth="1"/>
  </cols>
  <sheetData>
    <row r="1" spans="1:11" ht="36" customHeight="1">
      <c r="A1" s="23" t="s">
        <v>21</v>
      </c>
      <c r="B1" s="29"/>
      <c r="C1" s="29"/>
      <c r="D1" s="29"/>
      <c r="E1" s="29"/>
      <c r="F1" s="29"/>
      <c r="G1" s="29"/>
      <c r="H1" s="29"/>
      <c r="I1" s="29"/>
      <c r="J1" s="29"/>
      <c r="K1" s="29"/>
    </row>
    <row r="2" spans="1:11" ht="25.5">
      <c r="A2" s="4" t="s">
        <v>22</v>
      </c>
      <c r="B2" s="5" t="s">
        <v>23</v>
      </c>
      <c r="E2" s="4" t="s">
        <v>24</v>
      </c>
      <c r="F2" s="5" t="s">
        <v>25</v>
      </c>
      <c r="I2" s="4" t="s">
        <v>26</v>
      </c>
      <c r="J2" s="5">
        <v>4</v>
      </c>
    </row>
    <row r="3" spans="1:11">
      <c r="A3" s="4" t="s">
        <v>27</v>
      </c>
      <c r="B3" s="5" t="s">
        <v>28</v>
      </c>
      <c r="E3" s="4" t="s">
        <v>29</v>
      </c>
      <c r="F3" s="14">
        <v>46174</v>
      </c>
      <c r="I3" s="4" t="s">
        <v>30</v>
      </c>
      <c r="J3" s="5">
        <v>3</v>
      </c>
    </row>
    <row r="4" spans="1:11" ht="25.5">
      <c r="A4" s="4" t="s">
        <v>31</v>
      </c>
      <c r="B4" s="5">
        <v>1</v>
      </c>
      <c r="C4" s="4" t="s">
        <v>32</v>
      </c>
      <c r="D4" s="5">
        <v>0</v>
      </c>
      <c r="E4" s="4" t="s">
        <v>33</v>
      </c>
      <c r="F4" s="5" t="s">
        <v>34</v>
      </c>
      <c r="G4" s="4" t="s">
        <v>35</v>
      </c>
      <c r="H4" s="5" t="s">
        <v>34</v>
      </c>
      <c r="I4" s="4" t="s">
        <v>36</v>
      </c>
      <c r="J4" s="5">
        <v>1</v>
      </c>
      <c r="K4" s="4" t="s">
        <v>37</v>
      </c>
    </row>
    <row r="5" spans="1:11" ht="8.1" customHeight="1"/>
    <row r="6" spans="1:11" ht="30" customHeight="1">
      <c r="A6" s="24" t="s">
        <v>38</v>
      </c>
      <c r="B6" s="25"/>
      <c r="C6" s="25"/>
      <c r="D6" s="25"/>
      <c r="E6" s="25"/>
      <c r="F6" s="25"/>
      <c r="G6" s="25"/>
      <c r="H6" s="25"/>
      <c r="I6" s="25"/>
      <c r="J6" s="25"/>
      <c r="K6" s="25"/>
    </row>
    <row r="7" spans="1:11" ht="30" customHeight="1">
      <c r="A7" s="18" t="s">
        <v>10</v>
      </c>
      <c r="B7" s="18" t="s">
        <v>39</v>
      </c>
      <c r="C7" s="18" t="s">
        <v>40</v>
      </c>
      <c r="D7" s="18" t="s">
        <v>41</v>
      </c>
      <c r="E7" s="18" t="s">
        <v>42</v>
      </c>
      <c r="F7" s="18" t="s">
        <v>43</v>
      </c>
      <c r="G7" s="18" t="s">
        <v>44</v>
      </c>
      <c r="H7" s="18" t="s">
        <v>45</v>
      </c>
      <c r="I7" s="18" t="s">
        <v>46</v>
      </c>
      <c r="J7" s="18" t="s">
        <v>47</v>
      </c>
      <c r="K7" s="18" t="s">
        <v>48</v>
      </c>
    </row>
    <row r="8" spans="1:11" ht="39.950000000000003" customHeight="1">
      <c r="A8" s="19" t="s">
        <v>49</v>
      </c>
      <c r="B8" s="19" t="s">
        <v>50</v>
      </c>
      <c r="C8" s="19" t="s">
        <v>51</v>
      </c>
      <c r="D8" s="20" t="s">
        <v>52</v>
      </c>
      <c r="E8" s="19" t="s">
        <v>53</v>
      </c>
      <c r="F8" s="19" t="s">
        <v>53</v>
      </c>
      <c r="G8" s="19" t="s">
        <v>53</v>
      </c>
      <c r="H8" s="19" t="s">
        <v>54</v>
      </c>
      <c r="I8" s="19" t="s">
        <v>55</v>
      </c>
      <c r="J8" s="20" t="s">
        <v>56</v>
      </c>
      <c r="K8" s="19" t="s">
        <v>57</v>
      </c>
    </row>
    <row r="9" spans="1:11" ht="409.6">
      <c r="A9" s="11" t="s">
        <v>31</v>
      </c>
      <c r="B9" s="11">
        <v>100192918</v>
      </c>
      <c r="C9" s="11" t="s">
        <v>58</v>
      </c>
      <c r="D9" s="11" t="s">
        <v>59</v>
      </c>
      <c r="E9" s="21">
        <v>46154</v>
      </c>
      <c r="F9" s="16">
        <v>46167</v>
      </c>
      <c r="G9" s="16">
        <v>46167</v>
      </c>
      <c r="H9" s="11" t="s">
        <v>30</v>
      </c>
      <c r="I9" s="11" t="s">
        <v>60</v>
      </c>
      <c r="J9" s="11" t="s">
        <v>61</v>
      </c>
      <c r="K9" s="11"/>
    </row>
    <row r="10" spans="1:11" ht="409.5">
      <c r="A10" s="11" t="s">
        <v>62</v>
      </c>
      <c r="B10" s="11">
        <v>99938446</v>
      </c>
      <c r="C10" s="11" t="s">
        <v>63</v>
      </c>
      <c r="D10" s="11"/>
      <c r="E10" s="22">
        <v>46153</v>
      </c>
      <c r="F10" s="17" t="s">
        <v>64</v>
      </c>
      <c r="G10" s="17" t="s">
        <v>64</v>
      </c>
      <c r="H10" s="11" t="s">
        <v>30</v>
      </c>
      <c r="I10" s="11" t="s">
        <v>65</v>
      </c>
      <c r="J10" s="11" t="s">
        <v>66</v>
      </c>
      <c r="K10" s="11"/>
    </row>
    <row r="11" spans="1:11" ht="390">
      <c r="A11" s="11" t="s">
        <v>62</v>
      </c>
      <c r="B11" s="11">
        <v>104130912</v>
      </c>
      <c r="C11" s="11" t="s">
        <v>67</v>
      </c>
      <c r="D11" s="11"/>
      <c r="E11" s="22">
        <v>46169</v>
      </c>
      <c r="F11" s="22">
        <v>46169</v>
      </c>
      <c r="G11" s="22">
        <v>46169</v>
      </c>
      <c r="H11" s="11" t="s">
        <v>30</v>
      </c>
      <c r="I11" s="11" t="s">
        <v>68</v>
      </c>
      <c r="J11" s="11" t="s">
        <v>69</v>
      </c>
      <c r="K11" s="11"/>
    </row>
    <row r="12" spans="1:11" ht="409.5">
      <c r="A12" s="11" t="s">
        <v>62</v>
      </c>
      <c r="B12" s="11">
        <v>100945961</v>
      </c>
      <c r="C12" s="11" t="s">
        <v>70</v>
      </c>
      <c r="D12" s="11"/>
      <c r="E12" s="22">
        <v>46157</v>
      </c>
      <c r="F12" s="17" t="s">
        <v>71</v>
      </c>
      <c r="G12" s="11"/>
      <c r="H12" s="11" t="s">
        <v>36</v>
      </c>
      <c r="I12" s="11" t="s">
        <v>72</v>
      </c>
      <c r="J12" s="11" t="s">
        <v>73</v>
      </c>
      <c r="K12" s="11"/>
    </row>
    <row r="13" spans="1:11">
      <c r="A13" s="11"/>
    </row>
  </sheetData>
  <mergeCells count="2">
    <mergeCell ref="A1:K1"/>
    <mergeCell ref="A6:K6"/>
  </mergeCells>
  <dataValidations count="2">
    <dataValidation type="list" sqref="H9:H100" xr:uid="{A251A359-49DF-4CE7-9FA2-1902407A967E}">
      <formula1>"Resolved,Open"</formula1>
    </dataValidation>
    <dataValidation type="list" sqref="A9:A100" xr:uid="{866C4EE6-82B4-4315-8632-093F6ED4A9A0}">
      <formula1>"T2 Issue,Tracker,Customer Conversation,Email Conversation,Appendix"</formula1>
    </dataValidation>
  </dataValidations>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59669"/>
  </sheetPr>
  <dimension ref="A1:K11"/>
  <sheetViews>
    <sheetView workbookViewId="0">
      <pane ySplit="8" topLeftCell="A9" activePane="bottomLeft" state="frozen"/>
      <selection pane="bottomLeft" activeCell="J5" sqref="J5"/>
    </sheetView>
  </sheetViews>
  <sheetFormatPr defaultRowHeight="15"/>
  <cols>
    <col min="1" max="1" width="22" customWidth="1"/>
    <col min="2" max="2" width="14" customWidth="1"/>
    <col min="3" max="3" width="35" customWidth="1"/>
    <col min="4" max="4" width="24" customWidth="1"/>
    <col min="5" max="7" width="14" customWidth="1"/>
    <col min="8" max="8" width="12" customWidth="1"/>
    <col min="9" max="9" width="45" customWidth="1"/>
    <col min="10" max="11" width="55" customWidth="1"/>
  </cols>
  <sheetData>
    <row r="1" spans="1:11" ht="36" customHeight="1">
      <c r="A1" s="23" t="s">
        <v>21</v>
      </c>
      <c r="B1" s="29"/>
      <c r="C1" s="29"/>
      <c r="D1" s="29"/>
      <c r="E1" s="29"/>
      <c r="F1" s="29"/>
      <c r="G1" s="29"/>
      <c r="H1" s="29"/>
      <c r="I1" s="29"/>
      <c r="J1" s="29"/>
      <c r="K1" s="29"/>
    </row>
    <row r="2" spans="1:11" ht="25.5">
      <c r="A2" s="4" t="s">
        <v>22</v>
      </c>
      <c r="B2" s="5" t="s">
        <v>74</v>
      </c>
      <c r="E2" s="4" t="s">
        <v>24</v>
      </c>
      <c r="F2" s="5" t="s">
        <v>25</v>
      </c>
      <c r="I2" s="4" t="s">
        <v>26</v>
      </c>
      <c r="J2" s="5">
        <v>3</v>
      </c>
    </row>
    <row r="3" spans="1:11">
      <c r="A3" s="4" t="s">
        <v>27</v>
      </c>
      <c r="B3" s="5" t="s">
        <v>28</v>
      </c>
      <c r="E3" s="4" t="s">
        <v>29</v>
      </c>
      <c r="F3" s="5" t="s">
        <v>75</v>
      </c>
      <c r="I3" s="4" t="s">
        <v>30</v>
      </c>
      <c r="J3" s="5">
        <v>1</v>
      </c>
    </row>
    <row r="4" spans="1:11" ht="25.5">
      <c r="A4" s="4" t="s">
        <v>31</v>
      </c>
      <c r="B4" s="5" t="s">
        <v>34</v>
      </c>
      <c r="C4" s="4" t="s">
        <v>32</v>
      </c>
      <c r="D4" s="5">
        <v>0</v>
      </c>
      <c r="E4" s="4" t="s">
        <v>33</v>
      </c>
      <c r="F4" s="5" t="s">
        <v>34</v>
      </c>
      <c r="G4" s="4" t="s">
        <v>35</v>
      </c>
      <c r="H4" s="5" t="s">
        <v>34</v>
      </c>
      <c r="I4" s="4" t="s">
        <v>36</v>
      </c>
      <c r="J4" s="5">
        <v>2</v>
      </c>
      <c r="K4" s="4" t="s">
        <v>37</v>
      </c>
    </row>
    <row r="5" spans="1:11" ht="8.1" customHeight="1"/>
    <row r="6" spans="1:11" ht="30" customHeight="1">
      <c r="A6" s="27" t="s">
        <v>38</v>
      </c>
      <c r="B6" s="29"/>
      <c r="C6" s="29"/>
      <c r="D6" s="29"/>
      <c r="E6" s="29"/>
      <c r="F6" s="29"/>
      <c r="G6" s="29"/>
      <c r="H6" s="29"/>
      <c r="I6" s="29"/>
      <c r="J6" s="29"/>
      <c r="K6" s="29"/>
    </row>
    <row r="7" spans="1:11" ht="30" customHeight="1">
      <c r="A7" s="6" t="s">
        <v>10</v>
      </c>
      <c r="B7" s="6" t="s">
        <v>39</v>
      </c>
      <c r="C7" s="6" t="s">
        <v>40</v>
      </c>
      <c r="D7" s="6" t="s">
        <v>41</v>
      </c>
      <c r="E7" s="6" t="s">
        <v>42</v>
      </c>
      <c r="F7" s="6" t="s">
        <v>43</v>
      </c>
      <c r="G7" s="6" t="s">
        <v>44</v>
      </c>
      <c r="H7" s="6" t="s">
        <v>45</v>
      </c>
      <c r="I7" s="6" t="s">
        <v>46</v>
      </c>
      <c r="J7" s="6" t="s">
        <v>47</v>
      </c>
      <c r="K7" s="6" t="s">
        <v>48</v>
      </c>
    </row>
    <row r="8" spans="1:11" ht="39.950000000000003" customHeight="1">
      <c r="A8" s="7" t="s">
        <v>49</v>
      </c>
      <c r="B8" s="7" t="s">
        <v>50</v>
      </c>
      <c r="C8" s="7" t="s">
        <v>51</v>
      </c>
      <c r="D8" s="12" t="s">
        <v>52</v>
      </c>
      <c r="E8" s="7" t="s">
        <v>53</v>
      </c>
      <c r="F8" s="7" t="s">
        <v>53</v>
      </c>
      <c r="G8" s="7" t="s">
        <v>53</v>
      </c>
      <c r="H8" s="7" t="s">
        <v>54</v>
      </c>
      <c r="I8" s="7" t="s">
        <v>55</v>
      </c>
      <c r="J8" s="12" t="s">
        <v>56</v>
      </c>
      <c r="K8" s="7" t="s">
        <v>57</v>
      </c>
    </row>
    <row r="9" spans="1:11" ht="409.5">
      <c r="A9" t="s">
        <v>76</v>
      </c>
      <c r="B9">
        <v>90835276</v>
      </c>
      <c r="C9" t="s">
        <v>77</v>
      </c>
      <c r="D9" t="s">
        <v>78</v>
      </c>
      <c r="E9" s="9" t="s">
        <v>79</v>
      </c>
      <c r="F9" s="10" t="s">
        <v>80</v>
      </c>
      <c r="H9" t="s">
        <v>36</v>
      </c>
      <c r="I9" s="11" t="s">
        <v>81</v>
      </c>
      <c r="J9" s="11" t="s">
        <v>82</v>
      </c>
    </row>
    <row r="10" spans="1:11" ht="255">
      <c r="A10" t="s">
        <v>76</v>
      </c>
      <c r="B10">
        <v>89654522</v>
      </c>
      <c r="C10" t="s">
        <v>83</v>
      </c>
      <c r="E10" s="9" t="s">
        <v>84</v>
      </c>
      <c r="F10" s="10" t="s">
        <v>85</v>
      </c>
      <c r="H10" t="s">
        <v>36</v>
      </c>
      <c r="I10" s="11" t="s">
        <v>86</v>
      </c>
      <c r="J10" s="11" t="s">
        <v>87</v>
      </c>
    </row>
    <row r="11" spans="1:11" ht="270">
      <c r="A11" t="s">
        <v>76</v>
      </c>
      <c r="B11">
        <v>94722952</v>
      </c>
      <c r="C11" t="s">
        <v>88</v>
      </c>
      <c r="D11" t="s">
        <v>78</v>
      </c>
      <c r="E11" t="s">
        <v>89</v>
      </c>
      <c r="F11" t="s">
        <v>90</v>
      </c>
      <c r="G11" s="13" t="s">
        <v>91</v>
      </c>
      <c r="H11" t="s">
        <v>30</v>
      </c>
      <c r="I11" s="11" t="s">
        <v>92</v>
      </c>
      <c r="J11" s="11" t="s">
        <v>93</v>
      </c>
    </row>
  </sheetData>
  <mergeCells count="2">
    <mergeCell ref="A6:K6"/>
    <mergeCell ref="A1:K1"/>
  </mergeCells>
  <dataValidations count="2">
    <dataValidation type="list" sqref="A9:A100" xr:uid="{00000000-0002-0000-0200-000000000000}">
      <formula1>"T2 Issue,Tracker,Customer Conversation,Email Conversation,Appendix"</formula1>
    </dataValidation>
    <dataValidation type="list" sqref="H9:H100" xr:uid="{00000000-0002-0000-0200-000001000000}">
      <formula1>"Resolved,Open"</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D4ED8"/>
  </sheetPr>
  <dimension ref="A1:K11"/>
  <sheetViews>
    <sheetView topLeftCell="C1" workbookViewId="0">
      <pane ySplit="8" topLeftCell="A10" activePane="bottomLeft" state="frozen"/>
      <selection pane="bottomLeft" activeCell="J11" sqref="J11"/>
    </sheetView>
  </sheetViews>
  <sheetFormatPr defaultRowHeight="15"/>
  <cols>
    <col min="1" max="1" width="22" customWidth="1"/>
    <col min="2" max="2" width="14" customWidth="1"/>
    <col min="3" max="3" width="35" customWidth="1"/>
    <col min="4" max="4" width="24" customWidth="1"/>
    <col min="5" max="7" width="14" customWidth="1"/>
    <col min="8" max="8" width="12" customWidth="1"/>
    <col min="9" max="9" width="45" customWidth="1"/>
    <col min="10" max="11" width="55" customWidth="1"/>
  </cols>
  <sheetData>
    <row r="1" spans="1:11" ht="36" customHeight="1">
      <c r="A1" s="23" t="s">
        <v>94</v>
      </c>
      <c r="B1" s="29"/>
      <c r="C1" s="29"/>
      <c r="D1" s="29"/>
      <c r="E1" s="29"/>
      <c r="F1" s="29"/>
      <c r="G1" s="29"/>
      <c r="H1" s="29"/>
      <c r="I1" s="29"/>
      <c r="J1" s="29"/>
      <c r="K1" s="29"/>
    </row>
    <row r="2" spans="1:11" ht="25.5">
      <c r="A2" s="4" t="s">
        <v>22</v>
      </c>
      <c r="B2" s="5" t="s">
        <v>95</v>
      </c>
      <c r="E2" s="4" t="s">
        <v>24</v>
      </c>
      <c r="F2" s="5" t="s">
        <v>25</v>
      </c>
      <c r="I2" s="4" t="s">
        <v>26</v>
      </c>
      <c r="J2" s="5" t="s">
        <v>96</v>
      </c>
    </row>
    <row r="3" spans="1:11">
      <c r="A3" s="4" t="s">
        <v>27</v>
      </c>
      <c r="B3" s="5" t="s">
        <v>28</v>
      </c>
      <c r="E3" s="4" t="s">
        <v>29</v>
      </c>
      <c r="F3" s="5" t="s">
        <v>97</v>
      </c>
      <c r="I3" s="4" t="s">
        <v>30</v>
      </c>
      <c r="J3" s="5" t="s">
        <v>96</v>
      </c>
    </row>
    <row r="4" spans="1:11" ht="25.5">
      <c r="A4" s="4" t="s">
        <v>31</v>
      </c>
      <c r="B4" s="5" t="s">
        <v>96</v>
      </c>
      <c r="C4" s="4" t="s">
        <v>32</v>
      </c>
      <c r="D4" s="5" t="s">
        <v>34</v>
      </c>
      <c r="E4" s="4" t="s">
        <v>33</v>
      </c>
      <c r="F4" s="5" t="s">
        <v>34</v>
      </c>
      <c r="G4" s="4" t="s">
        <v>35</v>
      </c>
      <c r="H4" s="5" t="s">
        <v>34</v>
      </c>
      <c r="I4" s="4" t="s">
        <v>36</v>
      </c>
      <c r="J4" s="5" t="s">
        <v>34</v>
      </c>
      <c r="K4" s="4" t="s">
        <v>37</v>
      </c>
    </row>
    <row r="5" spans="1:11" ht="8.1" customHeight="1"/>
    <row r="6" spans="1:11" ht="30" customHeight="1">
      <c r="A6" s="27" t="s">
        <v>38</v>
      </c>
      <c r="B6" s="29"/>
      <c r="C6" s="29"/>
      <c r="D6" s="29"/>
      <c r="E6" s="29"/>
      <c r="F6" s="29"/>
      <c r="G6" s="29"/>
      <c r="H6" s="29"/>
      <c r="I6" s="29"/>
      <c r="J6" s="29"/>
      <c r="K6" s="29"/>
    </row>
    <row r="7" spans="1:11" ht="30" customHeight="1">
      <c r="A7" s="6" t="s">
        <v>10</v>
      </c>
      <c r="B7" s="6" t="s">
        <v>39</v>
      </c>
      <c r="C7" s="6" t="s">
        <v>40</v>
      </c>
      <c r="D7" s="6" t="s">
        <v>41</v>
      </c>
      <c r="E7" s="6" t="s">
        <v>42</v>
      </c>
      <c r="F7" s="6" t="s">
        <v>43</v>
      </c>
      <c r="G7" s="6" t="s">
        <v>44</v>
      </c>
      <c r="H7" s="6" t="s">
        <v>45</v>
      </c>
      <c r="I7" s="6" t="s">
        <v>46</v>
      </c>
      <c r="J7" s="6" t="s">
        <v>47</v>
      </c>
      <c r="K7" s="6" t="s">
        <v>48</v>
      </c>
    </row>
    <row r="8" spans="1:11" ht="39.950000000000003" customHeight="1">
      <c r="A8" s="7" t="s">
        <v>49</v>
      </c>
      <c r="B8" s="7" t="s">
        <v>50</v>
      </c>
      <c r="C8" s="7" t="s">
        <v>51</v>
      </c>
      <c r="D8" s="7" t="s">
        <v>52</v>
      </c>
      <c r="E8" s="7" t="s">
        <v>53</v>
      </c>
      <c r="F8" s="7" t="s">
        <v>53</v>
      </c>
      <c r="G8" s="7" t="s">
        <v>53</v>
      </c>
      <c r="H8" s="7" t="s">
        <v>54</v>
      </c>
      <c r="I8" s="7" t="s">
        <v>55</v>
      </c>
      <c r="J8" s="7" t="s">
        <v>56</v>
      </c>
      <c r="K8" s="7" t="s">
        <v>57</v>
      </c>
    </row>
    <row r="9" spans="1:11" ht="127.5">
      <c r="A9" s="8" t="s">
        <v>31</v>
      </c>
      <c r="B9" s="8" t="s">
        <v>98</v>
      </c>
      <c r="C9" s="8" t="s">
        <v>99</v>
      </c>
      <c r="D9" s="8" t="s">
        <v>78</v>
      </c>
      <c r="E9" s="8" t="s">
        <v>100</v>
      </c>
      <c r="F9" s="8" t="s">
        <v>101</v>
      </c>
      <c r="G9" s="8" t="s">
        <v>102</v>
      </c>
      <c r="H9" s="8" t="s">
        <v>30</v>
      </c>
      <c r="I9" s="8" t="s">
        <v>103</v>
      </c>
      <c r="J9" s="15" t="s">
        <v>104</v>
      </c>
      <c r="K9" s="15" t="s">
        <v>105</v>
      </c>
    </row>
    <row r="10" spans="1:11" ht="153">
      <c r="A10" s="8" t="s">
        <v>31</v>
      </c>
      <c r="B10" s="8" t="s">
        <v>106</v>
      </c>
      <c r="C10" s="8" t="s">
        <v>107</v>
      </c>
      <c r="D10" s="8" t="s">
        <v>108</v>
      </c>
      <c r="E10" s="8" t="s">
        <v>109</v>
      </c>
      <c r="F10" s="8" t="s">
        <v>110</v>
      </c>
      <c r="G10" s="8" t="s">
        <v>102</v>
      </c>
      <c r="H10" s="8" t="s">
        <v>30</v>
      </c>
      <c r="I10" s="8" t="s">
        <v>111</v>
      </c>
      <c r="J10" s="8" t="s">
        <v>112</v>
      </c>
      <c r="K10" s="8" t="s">
        <v>113</v>
      </c>
    </row>
    <row r="11" spans="1:11" ht="99.95" customHeight="1">
      <c r="A11" s="8" t="s">
        <v>31</v>
      </c>
      <c r="B11" s="8" t="s">
        <v>114</v>
      </c>
      <c r="C11" s="8" t="s">
        <v>115</v>
      </c>
      <c r="D11" s="8" t="s">
        <v>116</v>
      </c>
      <c r="E11" s="8" t="s">
        <v>117</v>
      </c>
      <c r="F11" s="8" t="s">
        <v>118</v>
      </c>
      <c r="G11" s="8" t="s">
        <v>118</v>
      </c>
      <c r="H11" s="8" t="s">
        <v>30</v>
      </c>
      <c r="I11" s="8" t="s">
        <v>119</v>
      </c>
      <c r="J11" s="8" t="s">
        <v>120</v>
      </c>
      <c r="K11" s="8" t="s">
        <v>121</v>
      </c>
    </row>
  </sheetData>
  <mergeCells count="2">
    <mergeCell ref="A6:K6"/>
    <mergeCell ref="A1:K1"/>
  </mergeCells>
  <dataValidations count="2">
    <dataValidation type="list" sqref="A9:A100" xr:uid="{00000000-0002-0000-0100-000000000000}">
      <formula1>"T2 Issue,Tracker,Customer Conversation,Email Conversation,Appendix"</formula1>
    </dataValidation>
    <dataValidation type="list" sqref="H9:H100" xr:uid="{00000000-0002-0000-0100-000001000000}">
      <formula1>"Resolved,Open"</formula1>
    </dataValidation>
  </dataValidation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文件" ma:contentTypeID="0x010100CE3BC93A1C1BDA4296032C5F29184589" ma:contentTypeVersion="11" ma:contentTypeDescription="建立新的文件。" ma:contentTypeScope="" ma:versionID="ca12efb59c61bd8e6a43e7780ddf152b">
  <xsd:schema xmlns:xsd="http://www.w3.org/2001/XMLSchema" xmlns:xs="http://www.w3.org/2001/XMLSchema" xmlns:p="http://schemas.microsoft.com/office/2006/metadata/properties" xmlns:ns2="af707b8a-c41f-4e8e-83bb-3e159af54887" xmlns:ns3="0a820874-a3dd-4a5d-92f4-b5799d889292" targetNamespace="http://schemas.microsoft.com/office/2006/metadata/properties" ma:root="true" ma:fieldsID="66d4da5b6ae70571e4d8357b9c043f4a" ns2:_="" ns3:_="">
    <xsd:import namespace="af707b8a-c41f-4e8e-83bb-3e159af54887"/>
    <xsd:import namespace="0a820874-a3dd-4a5d-92f4-b5799d88929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707b8a-c41f-4e8e-83bb-3e159af548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影像標籤" ma:readOnly="false" ma:fieldId="{5cf76f15-5ced-4ddc-b409-7134ff3c332f}" ma:taxonomyMulti="true" ma:sspId="1215e622-fcbb-4631-af54-406748ad27ef"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a820874-a3dd-4a5d-92f4-b5799d889292"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f796489c-1c46-4875-8fbd-53dd1f2d80a4}" ma:internalName="TaxCatchAll" ma:showField="CatchAllData" ma:web="0a820874-a3dd-4a5d-92f4-b5799d88929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內容類型"/>
        <xsd:element ref="dc:title" minOccurs="0" maxOccurs="1" ma:index="4" ma:displayName="標題"/>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a820874-a3dd-4a5d-92f4-b5799d889292" xsi:nil="true"/>
    <lcf76f155ced4ddcb4097134ff3c332f xmlns="af707b8a-c41f-4e8e-83bb-3e159af5488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2D9AD48-9F28-4290-8F4B-E6D206B3590E}"/>
</file>

<file path=customXml/itemProps2.xml><?xml version="1.0" encoding="utf-8"?>
<ds:datastoreItem xmlns:ds="http://schemas.openxmlformats.org/officeDocument/2006/customXml" ds:itemID="{03B98B24-D228-483E-83C6-7C14B0ED4791}"/>
</file>

<file path=customXml/itemProps3.xml><?xml version="1.0" encoding="utf-8"?>
<ds:datastoreItem xmlns:ds="http://schemas.openxmlformats.org/officeDocument/2006/customXml" ds:itemID="{1F4B8102-6679-495E-83D7-44A6ADC6725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2026-04-17T02:24:58Z</dcterms:created>
  <dcterms:modified xsi:type="dcterms:W3CDTF">2026-06-14T08:34:07Z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0x010100CE3BC93A1C1BDA4296032C5F29184589</vt:lpwstr>
  </property>
  <property fmtid="{D5CDD505-2E9C-101B-9397-08002B2CF9AE}" pid="3" name="MediaServiceImageTags">
    <vt:lpwstr/>
  </property>
</Properties>
</file>